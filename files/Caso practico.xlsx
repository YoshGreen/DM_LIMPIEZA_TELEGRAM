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eguridad Industrial\"/>
    </mc:Choice>
  </mc:AlternateContent>
  <xr:revisionPtr revIDLastSave="0" documentId="13_ncr:1_{D9471A4A-16ED-498C-B951-273DC8F59AA9}" xr6:coauthVersionLast="47" xr6:coauthVersionMax="47" xr10:uidLastSave="{00000000-0000-0000-0000-000000000000}"/>
  <bookViews>
    <workbookView xWindow="-120" yWindow="-120" windowWidth="20730" windowHeight="11310" xr2:uid="{63F7F78C-66DB-4FD6-8BB0-D60C9A9F82B1}"/>
  </bookViews>
  <sheets>
    <sheet name="Carga de fuego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74" i="9" l="1"/>
  <c r="AF74" i="9"/>
  <c r="AE74" i="9"/>
  <c r="AG74" i="9"/>
  <c r="AD74" i="9"/>
  <c r="AC74" i="9"/>
  <c r="AE54" i="9"/>
  <c r="AE55" i="9"/>
  <c r="AE56" i="9"/>
  <c r="AH39" i="9"/>
  <c r="AF39" i="9"/>
  <c r="AF40" i="9"/>
  <c r="AH40" i="9" s="1"/>
  <c r="AI40" i="9" s="1"/>
  <c r="X66" i="9"/>
  <c r="Z66" i="9" s="1"/>
  <c r="AA66" i="9" s="1"/>
  <c r="X65" i="9"/>
  <c r="Z65" i="9" s="1"/>
  <c r="AA65" i="9" s="1"/>
  <c r="X64" i="9"/>
  <c r="Z64" i="9" s="1"/>
  <c r="AA64" i="9" s="1"/>
  <c r="X63" i="9"/>
  <c r="Z63" i="9" s="1"/>
  <c r="AA63" i="9" s="1"/>
  <c r="X62" i="9"/>
  <c r="Z62" i="9" s="1"/>
  <c r="AA62" i="9" s="1"/>
  <c r="X61" i="9"/>
  <c r="Z61" i="9" s="1"/>
  <c r="AA61" i="9" s="1"/>
  <c r="X60" i="9"/>
  <c r="Z60" i="9" s="1"/>
  <c r="AA60" i="9" s="1"/>
  <c r="X59" i="9"/>
  <c r="Z59" i="9" s="1"/>
  <c r="AA59" i="9" s="1"/>
  <c r="X58" i="9"/>
  <c r="Z58" i="9" s="1"/>
  <c r="AA58" i="9" s="1"/>
  <c r="X57" i="9"/>
  <c r="Z57" i="9" s="1"/>
  <c r="AA57" i="9" s="1"/>
  <c r="X56" i="9"/>
  <c r="Z56" i="9" s="1"/>
  <c r="AA56" i="9" s="1"/>
  <c r="X55" i="9"/>
  <c r="Z55" i="9" s="1"/>
  <c r="AA55" i="9" s="1"/>
  <c r="X54" i="9"/>
  <c r="Z54" i="9" s="1"/>
  <c r="AA54" i="9" s="1"/>
  <c r="Z40" i="9"/>
  <c r="AA40" i="9" s="1"/>
  <c r="Z42" i="9"/>
  <c r="AA42" i="9" s="1"/>
  <c r="X46" i="9"/>
  <c r="Z46" i="9" s="1"/>
  <c r="AA46" i="9" s="1"/>
  <c r="X45" i="9"/>
  <c r="Z45" i="9" s="1"/>
  <c r="AA45" i="9" s="1"/>
  <c r="X44" i="9"/>
  <c r="Z44" i="9" s="1"/>
  <c r="AA44" i="9" s="1"/>
  <c r="X40" i="9"/>
  <c r="X43" i="9"/>
  <c r="Z43" i="9" s="1"/>
  <c r="AA43" i="9" s="1"/>
  <c r="X42" i="9"/>
  <c r="X41" i="9"/>
  <c r="Z41" i="9" s="1"/>
  <c r="AA41" i="9" s="1"/>
  <c r="U39" i="9"/>
  <c r="X39" i="9" s="1"/>
  <c r="X18" i="9"/>
  <c r="AE53" i="9" s="1"/>
  <c r="U27" i="9"/>
  <c r="X53" i="9" l="1"/>
  <c r="X47" i="9"/>
  <c r="Z39" i="9"/>
  <c r="AH41" i="9"/>
  <c r="U26" i="9"/>
  <c r="X26" i="9" s="1"/>
  <c r="Z26" i="9" s="1"/>
  <c r="AA26" i="9" s="1"/>
  <c r="AI39" i="9"/>
  <c r="AI41" i="9" s="1"/>
  <c r="AF56" i="9" s="1"/>
  <c r="AF41" i="9"/>
  <c r="X22" i="9"/>
  <c r="AE57" i="9" s="1"/>
  <c r="X30" i="9"/>
  <c r="Z30" i="9" s="1"/>
  <c r="AA30" i="9" s="1"/>
  <c r="X28" i="9"/>
  <c r="Z28" i="9" s="1"/>
  <c r="X27" i="9"/>
  <c r="U29" i="9"/>
  <c r="X29" i="9" s="1"/>
  <c r="Z29" i="9" s="1"/>
  <c r="AA29" i="9" s="1"/>
  <c r="AA22" i="9"/>
  <c r="AA39" i="9" l="1"/>
  <c r="AA47" i="9" s="1"/>
  <c r="AF54" i="9" s="1"/>
  <c r="Z47" i="9"/>
  <c r="X67" i="9"/>
  <c r="Z53" i="9"/>
  <c r="X31" i="9"/>
  <c r="AA28" i="9"/>
  <c r="AA31" i="9" s="1"/>
  <c r="AF53" i="9" s="1"/>
  <c r="Z27" i="9"/>
  <c r="AA27" i="9" s="1"/>
  <c r="Z67" i="9" l="1"/>
  <c r="AA67" i="9" s="1"/>
  <c r="AF55" i="9" s="1"/>
  <c r="AF57" i="9" s="1"/>
  <c r="AA53" i="9"/>
  <c r="Z31" i="9"/>
</calcChain>
</file>

<file path=xl/sharedStrings.xml><?xml version="1.0" encoding="utf-8"?>
<sst xmlns="http://schemas.openxmlformats.org/spreadsheetml/2006/main" count="163" uniqueCount="89">
  <si>
    <t>m</t>
  </si>
  <si>
    <t>Sector 1</t>
  </si>
  <si>
    <t>Sector 2</t>
  </si>
  <si>
    <t>Sector 3</t>
  </si>
  <si>
    <t>Sector 4</t>
  </si>
  <si>
    <t>General</t>
  </si>
  <si>
    <t>Deposito</t>
  </si>
  <si>
    <t>Oficina</t>
  </si>
  <si>
    <t>Sala reunion</t>
  </si>
  <si>
    <t>Pasillo</t>
  </si>
  <si>
    <t>Total</t>
  </si>
  <si>
    <t>20,8x11,8</t>
  </si>
  <si>
    <t>8,9x6</t>
  </si>
  <si>
    <t>8,9x6,01</t>
  </si>
  <si>
    <t>20,8x2+3x3</t>
  </si>
  <si>
    <t>20,8x19,8-3x3</t>
  </si>
  <si>
    <t>m2</t>
  </si>
  <si>
    <t>Cantidad</t>
  </si>
  <si>
    <t>Objeto</t>
  </si>
  <si>
    <t>Material</t>
  </si>
  <si>
    <t>Poder calorifico (Mcal/Kg)</t>
  </si>
  <si>
    <t>Peso total (kg)</t>
  </si>
  <si>
    <t>Calor de combustion (Mcal)</t>
  </si>
  <si>
    <t>Peso equivalente (kg)</t>
  </si>
  <si>
    <t>Piso parket</t>
  </si>
  <si>
    <t>Documentos</t>
  </si>
  <si>
    <t>Archivadores</t>
  </si>
  <si>
    <t xml:space="preserve">Cortinas </t>
  </si>
  <si>
    <t>Puerta</t>
  </si>
  <si>
    <t>Madera</t>
  </si>
  <si>
    <t>Papel</t>
  </si>
  <si>
    <t>Carton</t>
  </si>
  <si>
    <t>Tela de lino</t>
  </si>
  <si>
    <t>Peso eq</t>
  </si>
  <si>
    <t>cantidad</t>
  </si>
  <si>
    <t>Poder calor</t>
  </si>
  <si>
    <t>Calor comb</t>
  </si>
  <si>
    <t xml:space="preserve">Sacamos de tabla </t>
  </si>
  <si>
    <t>Tabla 4 NB 58005</t>
  </si>
  <si>
    <t>Sector 1: Deposito</t>
  </si>
  <si>
    <t>Sector 2: Oficina</t>
  </si>
  <si>
    <t>Escritorios</t>
  </si>
  <si>
    <t>Sillas</t>
  </si>
  <si>
    <t>Cajas de papel</t>
  </si>
  <si>
    <t>Tela</t>
  </si>
  <si>
    <t>Poliuterano</t>
  </si>
  <si>
    <t>Plastico duro</t>
  </si>
  <si>
    <t>Sector 3: Sala de reuniones</t>
  </si>
  <si>
    <t>Sillon</t>
  </si>
  <si>
    <t>Sillones</t>
  </si>
  <si>
    <t>Cortinas</t>
  </si>
  <si>
    <t>Mesa grande</t>
  </si>
  <si>
    <t>Mesita central</t>
  </si>
  <si>
    <t>Sector 4: Pasillo</t>
  </si>
  <si>
    <t>RESUMEN</t>
  </si>
  <si>
    <t>Sector</t>
  </si>
  <si>
    <t>Area</t>
  </si>
  <si>
    <t>N°</t>
  </si>
  <si>
    <t>Carga de fuego</t>
  </si>
  <si>
    <t>Clasificacion de riesgo</t>
  </si>
  <si>
    <t>Resistencia al fuego</t>
  </si>
  <si>
    <t>Sala</t>
  </si>
  <si>
    <t>R3</t>
  </si>
  <si>
    <t>R4</t>
  </si>
  <si>
    <t>F180</t>
  </si>
  <si>
    <t>F60</t>
  </si>
  <si>
    <t>F30</t>
  </si>
  <si>
    <t>Espesor de paredes</t>
  </si>
  <si>
    <t>Espesor de los entrepisos</t>
  </si>
  <si>
    <t>Potencial extintor</t>
  </si>
  <si>
    <t>Selección UL de extintor</t>
  </si>
  <si>
    <t>Area maxima protegida (m2)</t>
  </si>
  <si>
    <t>N° de extintores</t>
  </si>
  <si>
    <t>11 - 12 cm</t>
  </si>
  <si>
    <t>8 - 10 cm</t>
  </si>
  <si>
    <t>4 - 6 cm</t>
  </si>
  <si>
    <t>11cm</t>
  </si>
  <si>
    <t>6cm</t>
  </si>
  <si>
    <t>4cm</t>
  </si>
  <si>
    <t>20A</t>
  </si>
  <si>
    <t>2A</t>
  </si>
  <si>
    <t>1A</t>
  </si>
  <si>
    <t>9 - 17 lb</t>
  </si>
  <si>
    <t>1 - 5 lb</t>
  </si>
  <si>
    <t>1 ABC</t>
  </si>
  <si>
    <t>1 CO2</t>
  </si>
  <si>
    <t>EJERCICIO PRACTICO</t>
  </si>
  <si>
    <t>DISTRIBUCION DE LOS OBJETOS EN CADA AMBIENTE</t>
  </si>
  <si>
    <t>UBICACIÓN DEL EXTINTOR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</si>
</sst>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Arial Black"/>
      <family val="2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499481</xdr:colOff>
      <xdr:row>17</xdr:row>
      <xdr:rowOff>81311</xdr:rowOff>
    </xdr:from>
    <xdr:to>
      <xdr:col>16</xdr:col>
      <xdr:colOff>686806</xdr:colOff>
      <xdr:row>37</xdr:row>
      <xdr:rowOff>556811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2EF2B8-9047-4D05-88D3-E0F5E924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3932" y="3298902"/>
          <a:ext cx="5553850" cy="4610743"/>
        </a:xfrm>
        <a:prstGeom prst="rect">
          <a:avLst/>
        </a:prstGeom>
      </xdr:spPr>
    </xdr:pic>
    <xdr:clientData/>
  </xdr:twoCellAnchor>
  <xdr:twoCellAnchor editAs="oneCell">
    <xdr:from>
      <xdr:col>1</xdr:col>
      <xdr:colOff>731799</xdr:colOff>
      <xdr:row>17</xdr:row>
      <xdr:rowOff>69696</xdr:rowOff>
    </xdr:from>
    <xdr:to>
      <xdr:col>8</xdr:col>
      <xdr:colOff>359227</xdr:colOff>
      <xdr:row>36</xdr:row>
      <xdr:rowOff>111837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29651-3A1B-4EF6-A9D3-F3961AB7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445" y="3287287"/>
          <a:ext cx="5458587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8</xdr:col>
      <xdr:colOff>641759</xdr:colOff>
      <xdr:row>53</xdr:row>
      <xdr:rowOff>98806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32F906-307F-4316-8067-080B76591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3293" y="7352835"/>
          <a:ext cx="5706271" cy="3839111"/>
        </a:xfrm>
        <a:prstGeom prst="rect">
          <a:avLst/>
        </a:prstGeom>
      </xdr:spPr>
    </xdr:pic>
    <xdr:clientData/>
  </xdr:twoCellAnchor>
  <xdr:twoCellAnchor editAs="oneCell">
    <xdr:from>
      <xdr:col>9</xdr:col>
      <xdr:colOff>302013</xdr:colOff>
      <xdr:row>39</xdr:row>
      <xdr:rowOff>58079</xdr:rowOff>
    </xdr:from>
    <xdr:to>
      <xdr:col>16</xdr:col>
      <xdr:colOff>613180</xdr:colOff>
      <xdr:row>59</xdr:row>
      <xdr:rowOff>34951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3D29B0-766E-4F49-B9B4-86B192B02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6464" y="8165945"/>
          <a:ext cx="5677692" cy="4077269"/>
        </a:xfrm>
        <a:prstGeom prst="rect">
          <a:avLst/>
        </a:prstGeom>
      </xdr:spPr>
    </xdr:pic>
    <xdr:clientData/>
  </xdr:twoCellAnchor>
  <xdr:twoCellAnchor editAs="oneCell">
    <xdr:from>
      <xdr:col>2</xdr:col>
      <xdr:colOff>371707</xdr:colOff>
      <xdr:row>68</xdr:row>
      <xdr:rowOff>627256</xdr:rowOff>
    </xdr:from>
    <xdr:to>
      <xdr:col>17</xdr:col>
      <xdr:colOff>696951</xdr:colOff>
      <xdr:row>127</xdr:row>
      <xdr:rowOff>71532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8F15A25-D718-4C6F-BFD0-75E33069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0" y="15542012"/>
          <a:ext cx="12289573" cy="11594459"/>
        </a:xfrm>
        <a:prstGeom prst="rect">
          <a:avLst/>
        </a:prstGeom>
      </xdr:spPr>
    </xdr:pic>
    <xdr:clientData/>
  </xdr:twoCellAnchor>
  <xdr:twoCellAnchor editAs="oneCell">
    <xdr:from>
      <xdr:col>17</xdr:col>
      <xdr:colOff>371707</xdr:colOff>
      <xdr:row>99</xdr:row>
      <xdr:rowOff>116158</xdr:rowOff>
    </xdr:from>
    <xdr:to>
      <xdr:col>32</xdr:col>
      <xdr:colOff>647369</xdr:colOff>
      <xdr:row>132</xdr:row>
      <xdr:rowOff>46464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3565086-FD70-401B-BAE6-F0328C5F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69329" y="21373170"/>
          <a:ext cx="12820784" cy="6063476"/>
        </a:xfrm>
        <a:prstGeom prst="rect">
          <a:avLst/>
        </a:prstGeom>
      </xdr:spPr>
    </xdr:pic>
    <xdr:clientData/>
  </xdr:twoCellAnchor>
  <xdr:twoCellAnchor editAs="oneCell">
    <xdr:from>
      <xdr:col>19</xdr:col>
      <xdr:colOff>487864</xdr:colOff>
      <xdr:row>83</xdr:row>
      <xdr:rowOff>162622</xdr:rowOff>
    </xdr:from>
    <xdr:to>
      <xdr:col>22</xdr:col>
      <xdr:colOff>255547</xdr:colOff>
      <xdr:row>93</xdr:row>
      <xdr:rowOff>142763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CC2A5E0-3411-46EC-AF57-529F113B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18779" y="18445976"/>
          <a:ext cx="2462561" cy="2442702"/>
        </a:xfrm>
        <a:prstGeom prst="rect">
          <a:avLst/>
        </a:prstGeom>
      </xdr:spPr>
    </xdr:pic>
    <xdr:clientData/>
  </xdr:twoCellAnchor>
  <xdr:twoCellAnchor>
    <xdr:from>
      <xdr:col>22</xdr:col>
      <xdr:colOff>720183</xdr:colOff>
      <xdr:row>89</xdr:row>
      <xdr:rowOff>0</xdr:rowOff>
    </xdr:from>
    <xdr:to>
      <xdr:col>24</xdr:col>
      <xdr:colOff>116158</xdr:colOff>
      <xdr:row>91</xdr:row>
      <xdr:rowOff>69695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6E214ED-1B14-4C7B-8297-D15C9C89C63C}"/>
            </a:ext>
          </a:extLst>
        </xdr:cNvPr>
        <xdr:cNvCxnSpPr/>
      </xdr:nvCxnSpPr>
      <xdr:spPr>
        <a:xfrm flipV="1">
          <a:off x="18445976" y="20002500"/>
          <a:ext cx="1045426" cy="441402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B48B-4E03-4670-A20A-0C65A4CE0DE4}">
  <dimension ref="A1:AI88"/>
  <sheetViews>
    <sheetView tabSelected="1" topLeftCell="A40" zoomScale="41" zoomScaleNormal="41" workbookViewId="0">
      <selection activeCell="Y99" sqref="Y99"/>
    </sheetView>
  </sheetViews>
  <sheetFormatPr baseColWidth="10" defaultRowHeight="15" x14ac:dyDescent="0.25"/>
  <cols>
    <col min="3" max="3" width="12.7109375" customWidth="1"/>
    <col min="4" max="4" width="14.5703125" customWidth="1"/>
    <col min="5" max="5" width="14.140625" customWidth="1"/>
    <col min="22" max="22" width="17.5703125" customWidth="1"/>
    <col min="23" max="23" width="13.28515625" customWidth="1"/>
    <col min="30" max="30" width="13.140625" customWidth="1"/>
    <col min="31" max="31" width="14.85546875" customWidth="1"/>
    <col min="32" max="32" width="14.28515625" customWidth="1"/>
  </cols>
  <sheetData>
    <row r="1" spans="2:4" ht="18.75" x14ac:dyDescent="0.4">
      <c r="C1" s="3"/>
      <c r="D1" s="3"/>
    </row>
    <row r="2" spans="2:4" ht="55.5" x14ac:dyDescent="1.05">
      <c r="B2" s="3"/>
      <c r="C2" s="19" t="s">
        <v>86</v>
      </c>
      <c r="D2" s="3"/>
    </row>
    <row r="18" spans="21:28" x14ac:dyDescent="0.25">
      <c r="U18" s="2" t="s">
        <v>1</v>
      </c>
      <c r="V18" s="2" t="s">
        <v>6</v>
      </c>
      <c r="W18" s="2" t="s">
        <v>11</v>
      </c>
      <c r="X18" s="2">
        <f>11.8*20.8</f>
        <v>245.44000000000003</v>
      </c>
      <c r="Y18" s="2" t="s">
        <v>16</v>
      </c>
    </row>
    <row r="19" spans="21:28" x14ac:dyDescent="0.25">
      <c r="U19" s="2" t="s">
        <v>2</v>
      </c>
      <c r="V19" s="2" t="s">
        <v>7</v>
      </c>
      <c r="W19" s="2" t="s">
        <v>12</v>
      </c>
      <c r="X19" s="2">
        <v>53.4</v>
      </c>
      <c r="Y19" s="2" t="s">
        <v>16</v>
      </c>
    </row>
    <row r="20" spans="21:28" x14ac:dyDescent="0.25">
      <c r="U20" s="2" t="s">
        <v>3</v>
      </c>
      <c r="V20" s="2" t="s">
        <v>8</v>
      </c>
      <c r="W20" s="2" t="s">
        <v>13</v>
      </c>
      <c r="X20" s="2">
        <v>53.4</v>
      </c>
      <c r="Y20" s="2" t="s">
        <v>16</v>
      </c>
    </row>
    <row r="21" spans="21:28" x14ac:dyDescent="0.25">
      <c r="U21" s="2" t="s">
        <v>4</v>
      </c>
      <c r="V21" s="2" t="s">
        <v>9</v>
      </c>
      <c r="W21" s="2" t="s">
        <v>14</v>
      </c>
      <c r="X21" s="2">
        <v>50.6</v>
      </c>
      <c r="Y21" s="2" t="s">
        <v>16</v>
      </c>
    </row>
    <row r="22" spans="21:28" x14ac:dyDescent="0.25">
      <c r="U22" s="2" t="s">
        <v>5</v>
      </c>
      <c r="V22" s="2" t="s">
        <v>10</v>
      </c>
      <c r="W22" s="2" t="s">
        <v>15</v>
      </c>
      <c r="X22" s="2">
        <f>SUM(X18:X21)</f>
        <v>402.84000000000003</v>
      </c>
      <c r="Y22" s="2" t="s">
        <v>16</v>
      </c>
      <c r="AA22">
        <f>14.5*1.2</f>
        <v>17.399999999999999</v>
      </c>
    </row>
    <row r="24" spans="21:28" x14ac:dyDescent="0.25">
      <c r="U24" s="1" t="s">
        <v>39</v>
      </c>
      <c r="AA24" s="5" t="s">
        <v>33</v>
      </c>
      <c r="AB24">
        <v>4.4000000000000004</v>
      </c>
    </row>
    <row r="25" spans="21:28" ht="47.25" customHeight="1" x14ac:dyDescent="0.25">
      <c r="U25" s="20" t="s">
        <v>17</v>
      </c>
      <c r="V25" s="20" t="s">
        <v>18</v>
      </c>
      <c r="W25" s="20" t="s">
        <v>19</v>
      </c>
      <c r="X25" s="21" t="s">
        <v>21</v>
      </c>
      <c r="Y25" s="21" t="s">
        <v>20</v>
      </c>
      <c r="Z25" s="21" t="s">
        <v>22</v>
      </c>
      <c r="AA25" s="21" t="s">
        <v>23</v>
      </c>
    </row>
    <row r="26" spans="21:28" x14ac:dyDescent="0.25">
      <c r="U26" s="4">
        <f>+X18</f>
        <v>245.44000000000003</v>
      </c>
      <c r="V26" s="4" t="s">
        <v>24</v>
      </c>
      <c r="W26" s="4" t="s">
        <v>29</v>
      </c>
      <c r="X26" s="4">
        <f>+U26*118*0.08</f>
        <v>2316.9536000000003</v>
      </c>
      <c r="Y26" s="4">
        <v>4</v>
      </c>
      <c r="Z26" s="4">
        <f>+X26*Y26</f>
        <v>9267.8144000000011</v>
      </c>
      <c r="AA26" s="4">
        <f>+Z26/$AB$24</f>
        <v>2106.3214545454548</v>
      </c>
    </row>
    <row r="27" spans="21:28" x14ac:dyDescent="0.25">
      <c r="U27" s="4">
        <f>5*256*11</f>
        <v>14080</v>
      </c>
      <c r="V27" s="4" t="s">
        <v>25</v>
      </c>
      <c r="W27" s="4" t="s">
        <v>30</v>
      </c>
      <c r="X27" s="4">
        <f>+U27*3.1</f>
        <v>43648</v>
      </c>
      <c r="Y27" s="4">
        <v>4</v>
      </c>
      <c r="Z27" s="4">
        <f t="shared" ref="Z27:Z30" si="0">+X27*Y27</f>
        <v>174592</v>
      </c>
      <c r="AA27" s="4">
        <f>+Z27/$AB$24</f>
        <v>39680</v>
      </c>
    </row>
    <row r="28" spans="21:28" x14ac:dyDescent="0.25">
      <c r="U28" s="4">
        <v>14080</v>
      </c>
      <c r="V28" s="4" t="s">
        <v>26</v>
      </c>
      <c r="W28" s="4" t="s">
        <v>31</v>
      </c>
      <c r="X28" s="4">
        <f>+U28*0.435</f>
        <v>6124.8</v>
      </c>
      <c r="Y28" s="4">
        <v>4</v>
      </c>
      <c r="Z28" s="4">
        <f t="shared" si="0"/>
        <v>24499.200000000001</v>
      </c>
      <c r="AA28" s="4">
        <f>+Z28/$AB$24</f>
        <v>5568</v>
      </c>
    </row>
    <row r="29" spans="21:28" x14ac:dyDescent="0.25">
      <c r="U29" s="4">
        <f>2*(5.5*3)+2*(3.5*3)</f>
        <v>54</v>
      </c>
      <c r="V29" s="4" t="s">
        <v>27</v>
      </c>
      <c r="W29" s="4" t="s">
        <v>32</v>
      </c>
      <c r="X29" s="4">
        <f>+U29*1.2</f>
        <v>64.8</v>
      </c>
      <c r="Y29" s="4">
        <v>4</v>
      </c>
      <c r="Z29" s="4">
        <f t="shared" si="0"/>
        <v>259.2</v>
      </c>
      <c r="AA29" s="4">
        <f>+Z29/$AB$24</f>
        <v>58.909090909090899</v>
      </c>
    </row>
    <row r="30" spans="21:28" x14ac:dyDescent="0.25">
      <c r="U30" s="4">
        <v>1</v>
      </c>
      <c r="V30" s="4" t="s">
        <v>28</v>
      </c>
      <c r="W30" s="4" t="s">
        <v>29</v>
      </c>
      <c r="X30" s="4">
        <f>+U30*105</f>
        <v>105</v>
      </c>
      <c r="Y30" s="4">
        <v>4</v>
      </c>
      <c r="Z30" s="4">
        <f t="shared" si="0"/>
        <v>420</v>
      </c>
      <c r="AA30" s="4">
        <f>+Z30/$AB$24</f>
        <v>95.454545454545453</v>
      </c>
    </row>
    <row r="31" spans="21:28" x14ac:dyDescent="0.25">
      <c r="X31" s="6">
        <f>SUM(X26:X30)</f>
        <v>52259.553600000007</v>
      </c>
      <c r="Z31" s="6">
        <f>SUM(Z26:Z30)</f>
        <v>209038.21440000003</v>
      </c>
      <c r="AA31" s="6">
        <f>SUM(AA26:AA30)</f>
        <v>47508.685090909086</v>
      </c>
    </row>
    <row r="33" spans="21:35" x14ac:dyDescent="0.25">
      <c r="U33" t="s">
        <v>37</v>
      </c>
      <c r="W33" s="7" t="s">
        <v>38</v>
      </c>
    </row>
    <row r="34" spans="21:35" x14ac:dyDescent="0.25">
      <c r="U34" t="s">
        <v>34</v>
      </c>
      <c r="V34" t="s">
        <v>18</v>
      </c>
      <c r="W34" t="s">
        <v>19</v>
      </c>
      <c r="X34" t="s">
        <v>21</v>
      </c>
      <c r="Y34" t="s">
        <v>35</v>
      </c>
      <c r="Z34" t="s">
        <v>36</v>
      </c>
    </row>
    <row r="37" spans="21:35" x14ac:dyDescent="0.25">
      <c r="U37" s="1" t="s">
        <v>40</v>
      </c>
      <c r="AC37" s="1" t="s">
        <v>53</v>
      </c>
    </row>
    <row r="38" spans="21:35" ht="45" x14ac:dyDescent="0.25">
      <c r="U38" s="20" t="s">
        <v>17</v>
      </c>
      <c r="V38" s="20" t="s">
        <v>18</v>
      </c>
      <c r="W38" s="20" t="s">
        <v>19</v>
      </c>
      <c r="X38" s="21" t="s">
        <v>21</v>
      </c>
      <c r="Y38" s="21" t="s">
        <v>20</v>
      </c>
      <c r="Z38" s="21" t="s">
        <v>22</v>
      </c>
      <c r="AA38" s="21" t="s">
        <v>23</v>
      </c>
      <c r="AC38" s="20" t="s">
        <v>17</v>
      </c>
      <c r="AD38" s="20" t="s">
        <v>18</v>
      </c>
      <c r="AE38" s="20" t="s">
        <v>19</v>
      </c>
      <c r="AF38" s="21" t="s">
        <v>21</v>
      </c>
      <c r="AG38" s="21" t="s">
        <v>20</v>
      </c>
      <c r="AH38" s="21" t="s">
        <v>22</v>
      </c>
      <c r="AI38" s="21" t="s">
        <v>23</v>
      </c>
    </row>
    <row r="39" spans="21:35" x14ac:dyDescent="0.25">
      <c r="U39" s="4">
        <f>8.9*6</f>
        <v>53.400000000000006</v>
      </c>
      <c r="V39" s="4" t="s">
        <v>24</v>
      </c>
      <c r="W39" s="4" t="s">
        <v>29</v>
      </c>
      <c r="X39" s="4">
        <f>+((118*80)/1000)*U39</f>
        <v>504.096</v>
      </c>
      <c r="Y39" s="4">
        <v>4</v>
      </c>
      <c r="Z39" s="4">
        <f>+X39*Y39</f>
        <v>2016.384</v>
      </c>
      <c r="AA39" s="4">
        <f>+Z39/$AB$24</f>
        <v>458.26909090909089</v>
      </c>
      <c r="AC39" s="2">
        <v>50.6</v>
      </c>
      <c r="AD39" s="2" t="s">
        <v>24</v>
      </c>
      <c r="AE39" s="2" t="s">
        <v>29</v>
      </c>
      <c r="AF39" s="2">
        <f>+AC39*9.43</f>
        <v>477.15800000000002</v>
      </c>
      <c r="AG39" s="2">
        <v>4</v>
      </c>
      <c r="AH39" s="2">
        <f>+AF39*AG39</f>
        <v>1908.6320000000001</v>
      </c>
      <c r="AI39" s="2">
        <f>+AH39/AB24</f>
        <v>433.78</v>
      </c>
    </row>
    <row r="40" spans="21:35" x14ac:dyDescent="0.25">
      <c r="U40" s="4">
        <v>12</v>
      </c>
      <c r="V40" s="4" t="s">
        <v>41</v>
      </c>
      <c r="W40" s="4" t="s">
        <v>29</v>
      </c>
      <c r="X40" s="4">
        <f>45*U40</f>
        <v>540</v>
      </c>
      <c r="Y40" s="4">
        <v>4</v>
      </c>
      <c r="Z40" s="4">
        <f t="shared" ref="Z40:Z46" si="1">+X40*Y40</f>
        <v>2160</v>
      </c>
      <c r="AA40" s="4">
        <f t="shared" ref="AA40:AA46" si="2">+Z40/$AB$24</f>
        <v>490.90909090909088</v>
      </c>
      <c r="AC40" s="2">
        <v>4.5</v>
      </c>
      <c r="AD40" s="2" t="s">
        <v>50</v>
      </c>
      <c r="AE40" s="2" t="s">
        <v>32</v>
      </c>
      <c r="AF40" s="2">
        <f>+AC40*1.2</f>
        <v>5.3999999999999995</v>
      </c>
      <c r="AG40" s="2">
        <v>4</v>
      </c>
      <c r="AH40" s="2">
        <f>+AF40*AG40</f>
        <v>21.599999999999998</v>
      </c>
      <c r="AI40" s="2">
        <f>+AH40/AB24</f>
        <v>4.9090909090909083</v>
      </c>
    </row>
    <row r="41" spans="21:35" x14ac:dyDescent="0.25">
      <c r="U41" s="10">
        <v>12</v>
      </c>
      <c r="V41" s="10" t="s">
        <v>42</v>
      </c>
      <c r="W41" s="4" t="s">
        <v>44</v>
      </c>
      <c r="X41" s="4">
        <f>0.6*U41</f>
        <v>7.1999999999999993</v>
      </c>
      <c r="Y41" s="4">
        <v>4</v>
      </c>
      <c r="Z41" s="4">
        <f t="shared" si="1"/>
        <v>28.799999999999997</v>
      </c>
      <c r="AA41" s="4">
        <f t="shared" si="2"/>
        <v>6.5454545454545441</v>
      </c>
      <c r="AF41" s="2">
        <f>SUM(AF39:AF40)</f>
        <v>482.55799999999999</v>
      </c>
      <c r="AH41" s="2">
        <f>SUM(AH39:AH40)</f>
        <v>1930.232</v>
      </c>
      <c r="AI41" s="2">
        <f>SUM(AI39:AI40)</f>
        <v>438.68909090909091</v>
      </c>
    </row>
    <row r="42" spans="21:35" x14ac:dyDescent="0.25">
      <c r="U42" s="11"/>
      <c r="V42" s="11"/>
      <c r="W42" s="4" t="s">
        <v>45</v>
      </c>
      <c r="X42" s="4">
        <f>0.8*U41</f>
        <v>9.6000000000000014</v>
      </c>
      <c r="Y42" s="4">
        <v>6</v>
      </c>
      <c r="Z42" s="4">
        <f t="shared" si="1"/>
        <v>57.600000000000009</v>
      </c>
      <c r="AA42" s="4">
        <f t="shared" si="2"/>
        <v>13.090909090909092</v>
      </c>
    </row>
    <row r="43" spans="21:35" x14ac:dyDescent="0.25">
      <c r="U43" s="12"/>
      <c r="V43" s="12"/>
      <c r="W43" s="4" t="s">
        <v>46</v>
      </c>
      <c r="X43" s="4">
        <f>+(10.7-0.8-0.6)*U41</f>
        <v>111.6</v>
      </c>
      <c r="Y43" s="4">
        <v>10</v>
      </c>
      <c r="Z43" s="4">
        <f t="shared" si="1"/>
        <v>1116</v>
      </c>
      <c r="AA43" s="4">
        <f t="shared" si="2"/>
        <v>253.63636363636363</v>
      </c>
    </row>
    <row r="44" spans="21:35" x14ac:dyDescent="0.25">
      <c r="U44" s="15">
        <v>10</v>
      </c>
      <c r="V44" s="13" t="s">
        <v>43</v>
      </c>
      <c r="W44" s="2" t="s">
        <v>30</v>
      </c>
      <c r="X44" s="6">
        <f>+(2.25*10)*U44</f>
        <v>225</v>
      </c>
      <c r="Y44" s="2">
        <v>4</v>
      </c>
      <c r="Z44" s="4">
        <f t="shared" si="1"/>
        <v>900</v>
      </c>
      <c r="AA44" s="4">
        <f t="shared" si="2"/>
        <v>204.54545454545453</v>
      </c>
      <c r="AC44" s="1"/>
    </row>
    <row r="45" spans="21:35" x14ac:dyDescent="0.25">
      <c r="U45" s="16"/>
      <c r="V45" s="14"/>
      <c r="W45" s="2" t="s">
        <v>31</v>
      </c>
      <c r="X45" s="2">
        <f>0.6*U44</f>
        <v>6</v>
      </c>
      <c r="Y45" s="2">
        <v>4</v>
      </c>
      <c r="Z45" s="4">
        <f t="shared" si="1"/>
        <v>24</v>
      </c>
      <c r="AA45" s="4">
        <f t="shared" si="2"/>
        <v>5.4545454545454541</v>
      </c>
    </row>
    <row r="46" spans="21:35" x14ac:dyDescent="0.25">
      <c r="U46" s="2">
        <v>1</v>
      </c>
      <c r="V46" s="2" t="s">
        <v>28</v>
      </c>
      <c r="W46" s="2" t="s">
        <v>29</v>
      </c>
      <c r="X46" s="2">
        <f>80*U46</f>
        <v>80</v>
      </c>
      <c r="Y46" s="2">
        <v>4</v>
      </c>
      <c r="Z46" s="4">
        <f t="shared" si="1"/>
        <v>320</v>
      </c>
      <c r="AA46" s="4">
        <f t="shared" si="2"/>
        <v>72.72727272727272</v>
      </c>
    </row>
    <row r="47" spans="21:35" x14ac:dyDescent="0.25">
      <c r="X47" s="2">
        <f>SUM(X39:X46)</f>
        <v>1483.4959999999999</v>
      </c>
      <c r="Z47" s="2">
        <f>SUM(Z39:Z46)</f>
        <v>6622.7840000000006</v>
      </c>
      <c r="AA47" s="2">
        <f>SUM(AA39:AA46)</f>
        <v>1505.1781818181819</v>
      </c>
    </row>
    <row r="50" spans="21:35" x14ac:dyDescent="0.25">
      <c r="U50" s="1" t="s">
        <v>47</v>
      </c>
    </row>
    <row r="51" spans="21:35" x14ac:dyDescent="0.25">
      <c r="AC51" s="1" t="s">
        <v>54</v>
      </c>
    </row>
    <row r="52" spans="21:35" ht="45" x14ac:dyDescent="0.25">
      <c r="U52" s="20" t="s">
        <v>17</v>
      </c>
      <c r="V52" s="20" t="s">
        <v>18</v>
      </c>
      <c r="W52" s="20" t="s">
        <v>19</v>
      </c>
      <c r="X52" s="21" t="s">
        <v>21</v>
      </c>
      <c r="Y52" s="21" t="s">
        <v>20</v>
      </c>
      <c r="Z52" s="21" t="s">
        <v>22</v>
      </c>
      <c r="AA52" s="21" t="s">
        <v>23</v>
      </c>
      <c r="AC52" s="20" t="s">
        <v>57</v>
      </c>
      <c r="AD52" s="20" t="s">
        <v>55</v>
      </c>
      <c r="AE52" s="20" t="s">
        <v>56</v>
      </c>
      <c r="AF52" s="21" t="s">
        <v>23</v>
      </c>
      <c r="AG52" s="21" t="s">
        <v>58</v>
      </c>
      <c r="AH52" s="21" t="s">
        <v>59</v>
      </c>
      <c r="AI52" s="21" t="s">
        <v>60</v>
      </c>
    </row>
    <row r="53" spans="21:35" x14ac:dyDescent="0.25">
      <c r="U53" s="4">
        <v>53.4</v>
      </c>
      <c r="V53" s="4" t="s">
        <v>24</v>
      </c>
      <c r="W53" s="2" t="s">
        <v>29</v>
      </c>
      <c r="X53" s="2">
        <f>+X39</f>
        <v>504.096</v>
      </c>
      <c r="Y53" s="2">
        <v>4</v>
      </c>
      <c r="Z53" s="2">
        <f>+X53*Y53</f>
        <v>2016.384</v>
      </c>
      <c r="AA53" s="2">
        <f>+Z53/$AB$24</f>
        <v>458.26909090909089</v>
      </c>
      <c r="AC53" s="2">
        <v>1</v>
      </c>
      <c r="AD53" s="2" t="s">
        <v>6</v>
      </c>
      <c r="AE53" s="2">
        <f>+X18</f>
        <v>245.44000000000003</v>
      </c>
      <c r="AF53" s="2">
        <f>+AA31</f>
        <v>47508.685090909086</v>
      </c>
      <c r="AG53" s="2">
        <v>193.57</v>
      </c>
      <c r="AH53" s="2" t="s">
        <v>62</v>
      </c>
      <c r="AI53" s="2" t="s">
        <v>64</v>
      </c>
    </row>
    <row r="54" spans="21:35" x14ac:dyDescent="0.25">
      <c r="U54" s="4">
        <v>1</v>
      </c>
      <c r="V54" s="2" t="s">
        <v>51</v>
      </c>
      <c r="W54" s="2" t="s">
        <v>29</v>
      </c>
      <c r="X54" s="2">
        <f>120*U54</f>
        <v>120</v>
      </c>
      <c r="Y54" s="2">
        <v>4</v>
      </c>
      <c r="Z54" s="2">
        <f t="shared" ref="Z54:Z66" si="3">+X54*Y54</f>
        <v>480</v>
      </c>
      <c r="AA54" s="2">
        <f t="shared" ref="AA54:AA67" si="4">+Z54/$AB$24</f>
        <v>109.09090909090908</v>
      </c>
      <c r="AC54" s="2">
        <v>2</v>
      </c>
      <c r="AD54" s="2" t="s">
        <v>7</v>
      </c>
      <c r="AE54" s="2">
        <f t="shared" ref="AE54:AE57" si="5">+X19</f>
        <v>53.4</v>
      </c>
      <c r="AF54" s="2">
        <f>+AA47</f>
        <v>1505.1781818181819</v>
      </c>
      <c r="AG54" s="2">
        <v>28.19</v>
      </c>
      <c r="AH54" s="2" t="s">
        <v>62</v>
      </c>
      <c r="AI54" s="2" t="s">
        <v>65</v>
      </c>
    </row>
    <row r="55" spans="21:35" x14ac:dyDescent="0.25">
      <c r="U55" s="9">
        <v>20</v>
      </c>
      <c r="V55" s="17" t="s">
        <v>42</v>
      </c>
      <c r="W55" s="2" t="s">
        <v>29</v>
      </c>
      <c r="X55" s="2">
        <f>6.1*U55</f>
        <v>122</v>
      </c>
      <c r="Y55" s="2">
        <v>4</v>
      </c>
      <c r="Z55" s="2">
        <f t="shared" si="3"/>
        <v>488</v>
      </c>
      <c r="AA55" s="2">
        <f t="shared" si="4"/>
        <v>110.90909090909091</v>
      </c>
      <c r="AC55" s="2">
        <v>3</v>
      </c>
      <c r="AD55" s="2" t="s">
        <v>61</v>
      </c>
      <c r="AE55" s="2">
        <f t="shared" si="5"/>
        <v>53.4</v>
      </c>
      <c r="AF55" s="2">
        <f>+AA67</f>
        <v>868.17818181818177</v>
      </c>
      <c r="AG55" s="2">
        <v>16.260000000000002</v>
      </c>
      <c r="AH55" s="2" t="s">
        <v>62</v>
      </c>
      <c r="AI55" s="2" t="s">
        <v>65</v>
      </c>
    </row>
    <row r="56" spans="21:35" x14ac:dyDescent="0.25">
      <c r="U56" s="9"/>
      <c r="V56" s="17"/>
      <c r="W56" s="2" t="s">
        <v>44</v>
      </c>
      <c r="X56" s="2">
        <f>0.4*U55</f>
        <v>8</v>
      </c>
      <c r="Y56" s="2">
        <v>4</v>
      </c>
      <c r="Z56" s="2">
        <f t="shared" si="3"/>
        <v>32</v>
      </c>
      <c r="AA56" s="2">
        <f t="shared" si="4"/>
        <v>7.2727272727272725</v>
      </c>
      <c r="AC56" s="2">
        <v>4</v>
      </c>
      <c r="AD56" s="2" t="s">
        <v>9</v>
      </c>
      <c r="AE56" s="2">
        <f t="shared" si="5"/>
        <v>50.6</v>
      </c>
      <c r="AF56" s="2">
        <f>+AI41</f>
        <v>438.68909090909091</v>
      </c>
      <c r="AG56" s="2">
        <v>8.68</v>
      </c>
      <c r="AH56" s="2" t="s">
        <v>63</v>
      </c>
      <c r="AI56" s="2" t="s">
        <v>66</v>
      </c>
    </row>
    <row r="57" spans="21:35" x14ac:dyDescent="0.25">
      <c r="U57" s="9"/>
      <c r="V57" s="17"/>
      <c r="W57" s="2" t="s">
        <v>45</v>
      </c>
      <c r="X57" s="2">
        <f>0.4*U55</f>
        <v>8</v>
      </c>
      <c r="Y57" s="2">
        <v>6</v>
      </c>
      <c r="Z57" s="2">
        <f t="shared" si="3"/>
        <v>48</v>
      </c>
      <c r="AA57" s="2">
        <f t="shared" si="4"/>
        <v>10.909090909090908</v>
      </c>
      <c r="AC57" s="2">
        <v>5</v>
      </c>
      <c r="AD57" s="18" t="s">
        <v>5</v>
      </c>
      <c r="AE57" s="18">
        <f t="shared" si="5"/>
        <v>402.84000000000003</v>
      </c>
      <c r="AF57" s="18">
        <f>SUM(AF53:AF56)</f>
        <v>50320.730545454549</v>
      </c>
      <c r="AG57" s="18">
        <v>124.89</v>
      </c>
      <c r="AH57" s="18" t="s">
        <v>62</v>
      </c>
      <c r="AI57" s="18" t="s">
        <v>64</v>
      </c>
    </row>
    <row r="58" spans="21:35" x14ac:dyDescent="0.25">
      <c r="U58" s="9">
        <v>1</v>
      </c>
      <c r="V58" s="9" t="s">
        <v>48</v>
      </c>
      <c r="W58" s="2" t="s">
        <v>29</v>
      </c>
      <c r="X58" s="2">
        <f>30*U58</f>
        <v>30</v>
      </c>
      <c r="Y58" s="2">
        <v>4</v>
      </c>
      <c r="Z58" s="2">
        <f t="shared" si="3"/>
        <v>120</v>
      </c>
      <c r="AA58" s="2">
        <f t="shared" si="4"/>
        <v>27.27272727272727</v>
      </c>
    </row>
    <row r="59" spans="21:35" x14ac:dyDescent="0.25">
      <c r="U59" s="9"/>
      <c r="V59" s="9"/>
      <c r="W59" s="2" t="s">
        <v>44</v>
      </c>
      <c r="X59" s="2">
        <f>8*U58</f>
        <v>8</v>
      </c>
      <c r="Y59" s="2">
        <v>4</v>
      </c>
      <c r="Z59" s="2">
        <f t="shared" si="3"/>
        <v>32</v>
      </c>
      <c r="AA59" s="2">
        <f t="shared" si="4"/>
        <v>7.2727272727272725</v>
      </c>
    </row>
    <row r="60" spans="21:35" x14ac:dyDescent="0.25">
      <c r="U60" s="9"/>
      <c r="V60" s="9"/>
      <c r="W60" s="2" t="s">
        <v>45</v>
      </c>
      <c r="X60" s="2">
        <f>6*U58</f>
        <v>6</v>
      </c>
      <c r="Y60" s="2">
        <v>6</v>
      </c>
      <c r="Z60" s="2">
        <f t="shared" si="3"/>
        <v>36</v>
      </c>
      <c r="AA60" s="2">
        <f t="shared" si="4"/>
        <v>8.1818181818181817</v>
      </c>
    </row>
    <row r="61" spans="21:35" x14ac:dyDescent="0.25">
      <c r="U61" s="9">
        <v>3</v>
      </c>
      <c r="V61" s="9" t="s">
        <v>49</v>
      </c>
      <c r="W61" s="2" t="s">
        <v>29</v>
      </c>
      <c r="X61" s="2">
        <f>10*U61</f>
        <v>30</v>
      </c>
      <c r="Y61" s="2">
        <v>4</v>
      </c>
      <c r="Z61" s="2">
        <f t="shared" si="3"/>
        <v>120</v>
      </c>
      <c r="AA61" s="2">
        <f t="shared" si="4"/>
        <v>27.27272727272727</v>
      </c>
    </row>
    <row r="62" spans="21:35" x14ac:dyDescent="0.25">
      <c r="U62" s="9"/>
      <c r="V62" s="9"/>
      <c r="W62" s="2" t="s">
        <v>44</v>
      </c>
      <c r="X62" s="2">
        <f>2*U61</f>
        <v>6</v>
      </c>
      <c r="Y62" s="2">
        <v>4</v>
      </c>
      <c r="Z62" s="2">
        <f t="shared" si="3"/>
        <v>24</v>
      </c>
      <c r="AA62" s="2">
        <f t="shared" si="4"/>
        <v>5.4545454545454541</v>
      </c>
    </row>
    <row r="63" spans="21:35" x14ac:dyDescent="0.25">
      <c r="U63" s="9"/>
      <c r="V63" s="9"/>
      <c r="W63" s="2" t="s">
        <v>45</v>
      </c>
      <c r="X63" s="2">
        <f>1.8*U61</f>
        <v>5.4</v>
      </c>
      <c r="Y63" s="2">
        <v>6</v>
      </c>
      <c r="Z63" s="2">
        <f t="shared" si="3"/>
        <v>32.400000000000006</v>
      </c>
      <c r="AA63" s="2">
        <f t="shared" si="4"/>
        <v>7.3636363636363642</v>
      </c>
    </row>
    <row r="64" spans="21:35" x14ac:dyDescent="0.25">
      <c r="U64" s="4">
        <v>1</v>
      </c>
      <c r="V64" s="2" t="s">
        <v>52</v>
      </c>
      <c r="W64" s="2" t="s">
        <v>29</v>
      </c>
      <c r="X64" s="2">
        <f>7*U64</f>
        <v>7</v>
      </c>
      <c r="Y64" s="2">
        <v>4</v>
      </c>
      <c r="Z64" s="2">
        <f t="shared" si="3"/>
        <v>28</v>
      </c>
      <c r="AA64" s="2">
        <f t="shared" si="4"/>
        <v>6.3636363636363633</v>
      </c>
    </row>
    <row r="65" spans="1:34" x14ac:dyDescent="0.25">
      <c r="U65" s="4">
        <v>9</v>
      </c>
      <c r="V65" s="2" t="s">
        <v>50</v>
      </c>
      <c r="W65" s="2" t="s">
        <v>44</v>
      </c>
      <c r="X65" s="2">
        <f>1.2*U65</f>
        <v>10.799999999999999</v>
      </c>
      <c r="Y65" s="2">
        <v>4</v>
      </c>
      <c r="Z65" s="2">
        <f t="shared" si="3"/>
        <v>43.199999999999996</v>
      </c>
      <c r="AA65" s="2">
        <f t="shared" si="4"/>
        <v>9.8181818181818166</v>
      </c>
    </row>
    <row r="66" spans="1:34" x14ac:dyDescent="0.25">
      <c r="U66" s="4">
        <v>1</v>
      </c>
      <c r="V66" s="2" t="s">
        <v>28</v>
      </c>
      <c r="W66" s="2" t="s">
        <v>29</v>
      </c>
      <c r="X66" s="2">
        <f>80*U66</f>
        <v>80</v>
      </c>
      <c r="Y66" s="2">
        <v>4</v>
      </c>
      <c r="Z66" s="2">
        <f t="shared" si="3"/>
        <v>320</v>
      </c>
      <c r="AA66" s="2">
        <f t="shared" si="4"/>
        <v>72.72727272727272</v>
      </c>
    </row>
    <row r="67" spans="1:34" x14ac:dyDescent="0.25">
      <c r="X67" s="2">
        <f>SUM(X53:X66)</f>
        <v>945.29599999999994</v>
      </c>
      <c r="Z67" s="8">
        <f>SUM(Z53:Z66)</f>
        <v>3819.9839999999999</v>
      </c>
      <c r="AA67" s="8">
        <f t="shared" si="4"/>
        <v>868.17818181818177</v>
      </c>
    </row>
    <row r="68" spans="1:34" ht="55.5" x14ac:dyDescent="1.05">
      <c r="C68" s="19" t="s">
        <v>87</v>
      </c>
      <c r="D68" s="3"/>
      <c r="E68" s="3"/>
      <c r="F68" s="3"/>
      <c r="AC68" s="1"/>
    </row>
    <row r="69" spans="1:34" ht="60" x14ac:dyDescent="0.25">
      <c r="AC69" s="21" t="s">
        <v>67</v>
      </c>
      <c r="AD69" s="21" t="s">
        <v>68</v>
      </c>
      <c r="AE69" s="21" t="s">
        <v>69</v>
      </c>
      <c r="AF69" s="21" t="s">
        <v>70</v>
      </c>
      <c r="AG69" s="21" t="s">
        <v>71</v>
      </c>
      <c r="AH69" s="21" t="s">
        <v>72</v>
      </c>
    </row>
    <row r="70" spans="1:34" x14ac:dyDescent="0.25">
      <c r="A70" t="s">
        <v>0</v>
      </c>
      <c r="AC70" s="2" t="s">
        <v>73</v>
      </c>
      <c r="AD70" s="2" t="s">
        <v>76</v>
      </c>
      <c r="AE70" s="2" t="s">
        <v>79</v>
      </c>
      <c r="AF70" s="2" t="s">
        <v>82</v>
      </c>
      <c r="AG70" s="2">
        <v>1045.1300000000001</v>
      </c>
      <c r="AH70" s="2" t="s">
        <v>84</v>
      </c>
    </row>
    <row r="71" spans="1:34" x14ac:dyDescent="0.25">
      <c r="AC71" s="2" t="s">
        <v>74</v>
      </c>
      <c r="AD71" s="2" t="s">
        <v>77</v>
      </c>
      <c r="AE71" s="2" t="s">
        <v>80</v>
      </c>
      <c r="AF71" s="2" t="s">
        <v>83</v>
      </c>
      <c r="AG71" s="2">
        <v>278.7</v>
      </c>
      <c r="AH71" s="2" t="s">
        <v>85</v>
      </c>
    </row>
    <row r="72" spans="1:34" x14ac:dyDescent="0.25">
      <c r="AC72" s="2" t="s">
        <v>74</v>
      </c>
      <c r="AD72" s="2" t="s">
        <v>77</v>
      </c>
      <c r="AE72" s="2" t="s">
        <v>80</v>
      </c>
      <c r="AF72" s="2" t="s">
        <v>83</v>
      </c>
      <c r="AG72" s="2">
        <v>278.7</v>
      </c>
      <c r="AH72" s="2" t="s">
        <v>84</v>
      </c>
    </row>
    <row r="73" spans="1:34" x14ac:dyDescent="0.25">
      <c r="AC73" s="2" t="s">
        <v>75</v>
      </c>
      <c r="AD73" s="2" t="s">
        <v>78</v>
      </c>
      <c r="AE73" s="2" t="s">
        <v>81</v>
      </c>
      <c r="AF73" s="2" t="s">
        <v>83</v>
      </c>
      <c r="AG73" s="2">
        <v>278.7</v>
      </c>
      <c r="AH73" s="2" t="s">
        <v>84</v>
      </c>
    </row>
    <row r="74" spans="1:34" x14ac:dyDescent="0.25">
      <c r="AC74" s="2" t="str">
        <f>+AC70</f>
        <v>11 - 12 cm</v>
      </c>
      <c r="AD74" s="18" t="str">
        <f>+AD70</f>
        <v>11cm</v>
      </c>
      <c r="AE74" s="18" t="str">
        <f>+AE70</f>
        <v>20A</v>
      </c>
      <c r="AF74" s="18" t="str">
        <f>+AF70</f>
        <v>9 - 17 lb</v>
      </c>
      <c r="AG74" s="2">
        <f>+AG70</f>
        <v>1045.1300000000001</v>
      </c>
      <c r="AH74" s="18" t="str">
        <f>+AH71</f>
        <v>1 CO2</v>
      </c>
    </row>
    <row r="88" spans="24:24" ht="61.5" x14ac:dyDescent="0.9">
      <c r="X88" s="22" t="s">
        <v>88</v>
      </c>
    </row>
  </sheetData>
  <mergeCells count="10">
    <mergeCell ref="V61:V63"/>
    <mergeCell ref="U55:U57"/>
    <mergeCell ref="U58:U60"/>
    <mergeCell ref="U61:U63"/>
    <mergeCell ref="V41:V43"/>
    <mergeCell ref="V44:V45"/>
    <mergeCell ref="U41:U43"/>
    <mergeCell ref="U44:U45"/>
    <mergeCell ref="V55:V57"/>
    <mergeCell ref="V58:V60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de fuego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2025-08-05T13:13:08Z</dcterms:created>
  <dcterms:modified xsi:type="dcterms:W3CDTF">2025-11-09T17:08:58Z</dcterms:modified>
</cp:coreProperties>
</file>